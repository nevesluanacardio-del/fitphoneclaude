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gnóstico" sheetId="1" state="visible" r:id="rId1"/>
    <sheet name="Listas" sheetId="2" state="hidden" r:id="rId2"/>
    <sheet name="Textos" sheetId="3" state="hidden" r:id="rId3"/>
    <sheet name="Resultado" sheetId="4" state="visible"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20"/>
    </font>
    <font>
      <name val="Calibri"/>
      <i val="1"/>
      <color rgb="00FFFFFF"/>
      <sz val="11"/>
    </font>
    <font>
      <b val="1"/>
      <color rgb="00374151"/>
      <sz val="10.5"/>
    </font>
    <font>
      <color rgb="00374151"/>
      <sz val="10.5"/>
    </font>
    <font>
      <name val="Calibri"/>
      <b val="1"/>
      <color rgb="00FFFFFF"/>
      <sz val="13"/>
    </font>
    <font>
      <name val="Calibri"/>
      <b val="1"/>
      <color rgb="00FFFFFF"/>
      <sz val="11"/>
    </font>
    <font>
      <name val="Calibri"/>
      <color rgb="001F2937"/>
      <sz val="11"/>
    </font>
    <font>
      <b val="1"/>
      <color rgb="0092400E"/>
      <sz val="10.5"/>
    </font>
    <font>
      <name val="Calibri"/>
      <b val="1"/>
      <color rgb="00111827"/>
      <sz val="11"/>
    </font>
    <font>
      <b val="1"/>
    </font>
    <font>
      <b val="1"/>
      <color rgb="00FBBF24"/>
      <sz val="12"/>
    </font>
    <font>
      <b val="1"/>
      <color rgb="00FFFFFF"/>
    </font>
    <font>
      <b val="1"/>
      <color rgb="00FFFFFF"/>
      <sz val="13"/>
    </font>
    <font>
      <color rgb="00FFFFFF"/>
      <sz val="11"/>
    </font>
    <font>
      <b val="1"/>
      <color rgb="0020160A"/>
      <sz val="12"/>
    </font>
  </fonts>
  <fills count="15">
    <fill>
      <patternFill/>
    </fill>
    <fill>
      <patternFill patternType="gray125"/>
    </fill>
    <fill>
      <patternFill patternType="solid">
        <fgColor rgb="000B1120"/>
      </patternFill>
    </fill>
    <fill>
      <patternFill patternType="solid">
        <fgColor rgb="0016203A"/>
      </patternFill>
    </fill>
    <fill>
      <patternFill patternType="solid">
        <fgColor rgb="003B82F6"/>
      </patternFill>
    </fill>
    <fill>
      <patternFill patternType="solid">
        <fgColor rgb="00374151"/>
      </patternFill>
    </fill>
    <fill>
      <patternFill patternType="solid">
        <fgColor rgb="00FFFFFF"/>
      </patternFill>
    </fill>
    <fill>
      <patternFill patternType="solid">
        <fgColor rgb="00FEF3C7"/>
      </patternFill>
    </fill>
    <fill>
      <patternFill patternType="solid">
        <fgColor rgb="00E5E7EB"/>
      </patternFill>
    </fill>
    <fill>
      <patternFill patternType="solid">
        <fgColor rgb="0010B981"/>
      </patternFill>
    </fill>
    <fill>
      <patternFill patternType="solid">
        <fgColor rgb="00F59E0B"/>
      </patternFill>
    </fill>
    <fill>
      <patternFill patternType="solid">
        <fgColor rgb="00A855F7"/>
      </patternFill>
    </fill>
    <fill>
      <patternFill patternType="solid">
        <fgColor rgb="007F1D1D"/>
      </patternFill>
    </fill>
    <fill>
      <patternFill patternType="solid">
        <fgColor rgb="00991B1B"/>
      </patternFill>
    </fill>
    <fill>
      <patternFill patternType="solid">
        <fgColor rgb="00111A2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4" borderId="0" applyAlignment="1" pivotButton="0" quotePrefix="0" xfId="0">
      <alignment vertical="center"/>
    </xf>
    <xf numFmtId="0" fontId="6" fillId="5" borderId="1" applyAlignment="1" pivotButton="0" quotePrefix="0" xfId="0">
      <alignment horizontal="center" vertical="center"/>
    </xf>
    <xf numFmtId="0" fontId="6" fillId="5" borderId="1" applyAlignment="1" pivotButton="0" quotePrefix="0" xfId="0">
      <alignment horizontal="left" vertical="center" wrapText="1"/>
    </xf>
    <xf numFmtId="0" fontId="7" fillId="0" borderId="1" applyAlignment="1" pivotButton="0" quotePrefix="0" xfId="0">
      <alignment horizontal="center" vertical="center"/>
    </xf>
    <xf numFmtId="0" fontId="7" fillId="6" borderId="1" applyAlignment="1" pivotButton="0" quotePrefix="0" xfId="0">
      <alignment horizontal="left" vertical="center" wrapText="1"/>
    </xf>
    <xf numFmtId="0" fontId="8" fillId="7" borderId="1" applyAlignment="1" pivotButton="0" quotePrefix="0" xfId="0">
      <alignment horizontal="center" vertical="center"/>
    </xf>
    <xf numFmtId="0" fontId="0" fillId="8" borderId="1" pivotButton="0" quotePrefix="0" xfId="0"/>
    <xf numFmtId="0" fontId="9" fillId="8" borderId="1" applyAlignment="1" pivotButton="0" quotePrefix="0" xfId="0">
      <alignment horizontal="right" vertical="center"/>
    </xf>
    <xf numFmtId="0" fontId="9" fillId="8" borderId="1" applyAlignment="1" pivotButton="0" quotePrefix="0" xfId="0">
      <alignment horizontal="center" vertical="center"/>
    </xf>
    <xf numFmtId="0" fontId="5" fillId="9" borderId="0" applyAlignment="1" pivotButton="0" quotePrefix="0" xfId="0">
      <alignment vertical="center"/>
    </xf>
    <xf numFmtId="0" fontId="5" fillId="10" borderId="0" applyAlignment="1" pivotButton="0" quotePrefix="0" xfId="0">
      <alignment vertical="center"/>
    </xf>
    <xf numFmtId="0" fontId="5" fillId="11" borderId="0" applyAlignment="1" pivotButton="0" quotePrefix="0" xfId="0">
      <alignment vertical="center"/>
    </xf>
    <xf numFmtId="0" fontId="10" fillId="0" borderId="1" pivotButton="0" quotePrefix="0" xfId="0"/>
    <xf numFmtId="0" fontId="0" fillId="0" borderId="1" applyAlignment="1" pivotButton="0" quotePrefix="0" xfId="0">
      <alignment horizontal="center" vertical="center"/>
    </xf>
    <xf numFmtId="0" fontId="0" fillId="7" borderId="1" applyAlignment="1" pivotButton="0" quotePrefix="0" xfId="0">
      <alignment horizontal="center" vertical="center"/>
    </xf>
    <xf numFmtId="0" fontId="11" fillId="2" borderId="0" applyAlignment="1" pivotButton="0" quotePrefix="0" xfId="0">
      <alignment horizontal="center" vertical="center"/>
    </xf>
    <xf numFmtId="0" fontId="12" fillId="12" borderId="0" applyAlignment="1" pivotButton="0" quotePrefix="0" xfId="0">
      <alignment vertical="center" wrapText="1"/>
    </xf>
    <xf numFmtId="0" fontId="13" fillId="13" borderId="0" applyAlignment="1" pivotButton="0" quotePrefix="0" xfId="0">
      <alignment vertical="center" wrapText="1"/>
    </xf>
    <xf numFmtId="0" fontId="12" fillId="14" borderId="0" applyAlignment="1" pivotButton="0" quotePrefix="0" xfId="0">
      <alignment vertical="center" wrapText="1"/>
    </xf>
    <xf numFmtId="0" fontId="14" fillId="3" borderId="0" applyAlignment="1" pivotButton="0" quotePrefix="0" xfId="0">
      <alignment vertical="center" wrapText="1"/>
    </xf>
    <xf numFmtId="0" fontId="15" fillId="1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26"/>
  <chart>
    <title>
      <tx>
        <rich>
          <a:bodyPr/>
          <a:p>
            <a:pPr>
              <a:defRPr/>
            </a:pPr>
            <a:r>
              <a:t>Radar das 4 dimensões — Atual x Desejado</a:t>
            </a:r>
          </a:p>
        </rich>
      </tx>
    </title>
    <plotArea>
      <radarChart>
        <radarStyle val="filled"/>
        <ser>
          <idx val="0"/>
          <order val="0"/>
          <tx>
            <strRef>
              <f>'Resultado'!B4</f>
            </strRef>
          </tx>
          <spPr>
            <a:ln>
              <a:prstDash val="solid"/>
            </a:ln>
          </spPr>
          <marker>
            <symbol val="none"/>
            <spPr>
              <a:ln>
                <a:prstDash val="solid"/>
              </a:ln>
            </spPr>
          </marker>
          <cat>
            <numRef>
              <f>'Resultado'!$A$5:$A$8</f>
            </numRef>
          </cat>
          <val>
            <numRef>
              <f>'Resultado'!$B$5:$B$8</f>
            </numRef>
          </val>
        </ser>
        <ser>
          <idx val="1"/>
          <order val="1"/>
          <tx>
            <strRef>
              <f>'Resultado'!C4</f>
            </strRef>
          </tx>
          <spPr>
            <a:ln>
              <a:prstDash val="solid"/>
            </a:ln>
          </spPr>
          <marker>
            <symbol val="none"/>
            <spPr>
              <a:ln>
                <a:prstDash val="solid"/>
              </a:ln>
            </spPr>
          </marker>
          <cat>
            <numRef>
              <f>'Resultado'!$A$5:$A$8</f>
            </numRef>
          </cat>
          <val>
            <numRef>
              <f>'Resultado'!$C$5:$C$8</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576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D52"/>
  <sheetViews>
    <sheetView showGridLines="0" workbookViewId="0">
      <selection activeCell="A1" sqref="A1"/>
    </sheetView>
  </sheetViews>
  <sheetFormatPr baseColWidth="8" defaultRowHeight="15"/>
  <cols>
    <col width="4" customWidth="1" min="1" max="1"/>
    <col width="78" customWidth="1" min="2" max="2"/>
    <col width="34" customWidth="1" min="3" max="3"/>
    <col width="12" customWidth="1" min="4" max="4"/>
  </cols>
  <sheetData>
    <row r="1" ht="38" customHeight="1">
      <c r="A1" s="1" t="inlineStr">
        <is>
          <t>DIAGNÓSTICO DO GARGALO OCULTO</t>
        </is>
      </c>
    </row>
    <row r="2" ht="22" customHeight="1">
      <c r="A2" s="2" t="inlineStr">
        <is>
          <t>O mapa que revela por que seu faturamento parou de crescer</t>
        </is>
      </c>
    </row>
    <row r="3">
      <c r="A3" s="3" t="inlineStr">
        <is>
          <t>COMO PREENCHER:</t>
        </is>
      </c>
    </row>
    <row r="4">
      <c r="A4" s="4" t="inlineStr">
        <is>
          <t>1) Em cada item, abra o menu suspenso na coluna "Sua avaliação" e escolha uma das 3 opções.</t>
        </is>
      </c>
    </row>
    <row r="5">
      <c r="A5" s="4" t="inlineStr">
        <is>
          <t>2) A pontuação é calculada automaticamente. Não precisa mexer na coluna "Pontos".</t>
        </is>
      </c>
    </row>
    <row r="6">
      <c r="A6" s="4" t="inlineStr">
        <is>
          <t>3) Ao terminar, vá até a aba "Resultado" para ver o radar e o seu gargalo oculto.</t>
        </is>
      </c>
    </row>
    <row r="8" ht="26" customHeight="1">
      <c r="A8" s="5" t="inlineStr">
        <is>
          <t xml:space="preserve">  PROCESSOS  —  cada item "satisfatório" vale 10 pts  ·  Como o trabalho realmente acontece no dia a dia.</t>
        </is>
      </c>
    </row>
    <row r="9">
      <c r="A9" s="6" t="inlineStr">
        <is>
          <t>#</t>
        </is>
      </c>
      <c r="B9" s="7" t="inlineStr">
        <is>
          <t>Item avaliado</t>
        </is>
      </c>
      <c r="C9" s="6" t="inlineStr">
        <is>
          <t>Sua avaliação</t>
        </is>
      </c>
      <c r="D9" s="6" t="inlineStr">
        <is>
          <t>Pontos</t>
        </is>
      </c>
    </row>
    <row r="10" ht="30" customHeight="1">
      <c r="A10" s="8" t="n">
        <v>1</v>
      </c>
      <c r="B10" s="9" t="inlineStr">
        <is>
          <t>Os principais processos do negócio estão documentados.</t>
        </is>
      </c>
      <c r="C10" s="10" t="inlineStr"/>
      <c r="D10" s="8">
        <f>IF($C10="Existe e é satisfatório",10,IF($C10="Existe, mas não é satisfatório",5,0))</f>
        <v/>
      </c>
    </row>
    <row r="11" ht="30" customHeight="1">
      <c r="A11" s="8" t="n">
        <v>2</v>
      </c>
      <c r="B11" s="9" t="inlineStr">
        <is>
          <t>Quando aparecem problemas, não somente apagamos incêndios — as causas são investigadas.</t>
        </is>
      </c>
      <c r="C11" s="10" t="inlineStr"/>
      <c r="D11" s="8">
        <f>IF($C11="Existe e é satisfatório",10,IF($C11="Existe, mas não é satisfatório",5,0))</f>
        <v/>
      </c>
    </row>
    <row r="12" ht="30" customHeight="1">
      <c r="A12" s="8" t="n">
        <v>3</v>
      </c>
      <c r="B12" s="9" t="inlineStr">
        <is>
          <t>Os colaboradores têm clareza da missão, visão, valores, políticas, ações e objetivos.</t>
        </is>
      </c>
      <c r="C12" s="10" t="inlineStr"/>
      <c r="D12" s="8">
        <f>IF($C12="Existe e é satisfatório",10,IF($C12="Existe, mas não é satisfatório",5,0))</f>
        <v/>
      </c>
    </row>
    <row r="13" ht="30" customHeight="1">
      <c r="A13" s="8" t="n">
        <v>4</v>
      </c>
      <c r="B13" s="9" t="inlineStr">
        <is>
          <t>Existem indicadores mapeados e monitorados.</t>
        </is>
      </c>
      <c r="C13" s="10" t="inlineStr"/>
      <c r="D13" s="8">
        <f>IF($C13="Existe e é satisfatório",10,IF($C13="Existe, mas não é satisfatório",5,0))</f>
        <v/>
      </c>
    </row>
    <row r="14" ht="30" customHeight="1">
      <c r="A14" s="8" t="n">
        <v>5</v>
      </c>
      <c r="B14" s="9" t="inlineStr">
        <is>
          <t>Acontecem reuniões de alinhamento das tarefas com as equipes (gerenciamento da rotina).</t>
        </is>
      </c>
      <c r="C14" s="10" t="inlineStr"/>
      <c r="D14" s="8">
        <f>IF($C14="Existe e é satisfatório",10,IF($C14="Existe, mas não é satisfatório",5,0))</f>
        <v/>
      </c>
    </row>
    <row r="15" ht="30" customHeight="1">
      <c r="A15" s="8" t="n">
        <v>6</v>
      </c>
      <c r="B15" s="9" t="inlineStr">
        <is>
          <t>Os colaboradores sabem exatamente o que fazer, pois existe um manual (ou documento) de cultura/orientações.</t>
        </is>
      </c>
      <c r="C15" s="10" t="inlineStr"/>
      <c r="D15" s="8">
        <f>IF($C15="Existe e é satisfatório",10,IF($C15="Existe, mas não é satisfatório",5,0))</f>
        <v/>
      </c>
    </row>
    <row r="16" ht="30" customHeight="1">
      <c r="A16" s="8" t="n">
        <v>7</v>
      </c>
      <c r="B16" s="9" t="inlineStr">
        <is>
          <t>São realizados planos de ação para alcançar as metas/objetivos.</t>
        </is>
      </c>
      <c r="C16" s="10" t="inlineStr"/>
      <c r="D16" s="8">
        <f>IF($C16="Existe e é satisfatório",10,IF($C16="Existe, mas não é satisfatório",5,0))</f>
        <v/>
      </c>
    </row>
    <row r="17" ht="30" customHeight="1">
      <c r="A17" s="8" t="n">
        <v>8</v>
      </c>
      <c r="B17" s="9" t="inlineStr">
        <is>
          <t>Existe uma dose adequada de planejamento antes da execução.</t>
        </is>
      </c>
      <c r="C17" s="10" t="inlineStr"/>
      <c r="D17" s="8">
        <f>IF($C17="Existe e é satisfatório",10,IF($C17="Existe, mas não é satisfatório",5,0))</f>
        <v/>
      </c>
    </row>
    <row r="18" ht="30" customHeight="1">
      <c r="A18" s="8" t="n">
        <v>9</v>
      </c>
      <c r="B18" s="9" t="inlineStr">
        <is>
          <t>Temos uma mentalidade de melhoria contínua, utilizando a ferramenta PDCA.</t>
        </is>
      </c>
      <c r="C18" s="10" t="inlineStr"/>
      <c r="D18" s="8">
        <f>IF($C18="Existe e é satisfatório",10,IF($C18="Existe, mas não é satisfatório",5,0))</f>
        <v/>
      </c>
    </row>
    <row r="19" ht="30" customHeight="1">
      <c r="A19" s="8" t="n">
        <v>10</v>
      </c>
      <c r="B19" s="9" t="inlineStr">
        <is>
          <t>Temos um organograma documentado e compartilhado com todos.</t>
        </is>
      </c>
      <c r="C19" s="10" t="inlineStr"/>
      <c r="D19" s="8">
        <f>IF($C19="Existe e é satisfatório",10,IF($C19="Existe, mas não é satisfatório",5,0))</f>
        <v/>
      </c>
    </row>
    <row r="20" ht="24" customHeight="1">
      <c r="A20" s="11" t="n"/>
      <c r="B20" s="12" t="inlineStr">
        <is>
          <t>SUBTOTAL — Processos (máximo 100)</t>
        </is>
      </c>
      <c r="C20" s="13">
        <f>SUM(D10:D19)&amp;" / 100"</f>
        <v/>
      </c>
      <c r="D20" s="13">
        <f>SUM(D10:D19)</f>
        <v/>
      </c>
    </row>
    <row r="22" ht="26" customHeight="1">
      <c r="A22" s="14" t="inlineStr">
        <is>
          <t xml:space="preserve">  RESULTADOS  —  cada item "satisfatório" vale 20 pts  ·  O que o negócio efetivamente entrega e mede.</t>
        </is>
      </c>
    </row>
    <row r="23">
      <c r="A23" s="6" t="inlineStr">
        <is>
          <t>#</t>
        </is>
      </c>
      <c r="B23" s="7" t="inlineStr">
        <is>
          <t>Item avaliado</t>
        </is>
      </c>
      <c r="C23" s="6" t="inlineStr">
        <is>
          <t>Sua avaliação</t>
        </is>
      </c>
      <c r="D23" s="6" t="inlineStr">
        <is>
          <t>Pontos</t>
        </is>
      </c>
    </row>
    <row r="24" ht="30" customHeight="1">
      <c r="A24" s="8" t="n">
        <v>1</v>
      </c>
      <c r="B24" s="9" t="inlineStr">
        <is>
          <t>A margem de lucro do negócio é mensurada e está em nível satisfatório.</t>
        </is>
      </c>
      <c r="C24" s="10" t="inlineStr"/>
      <c r="D24" s="8">
        <f>IF($C24="Existe e é satisfatório",20,IF($C24="Existe, mas não é satisfatório",10,0))</f>
        <v/>
      </c>
    </row>
    <row r="25" ht="30" customHeight="1">
      <c r="A25" s="8" t="n">
        <v>2</v>
      </c>
      <c r="B25" s="9" t="inlineStr">
        <is>
          <t>A satisfação do cliente é mensurada e está em nível satisfatório.</t>
        </is>
      </c>
      <c r="C25" s="10" t="inlineStr"/>
      <c r="D25" s="8">
        <f>IF($C25="Existe e é satisfatório",20,IF($C25="Existe, mas não é satisfatório",10,0))</f>
        <v/>
      </c>
    </row>
    <row r="26" ht="30" customHeight="1">
      <c r="A26" s="8" t="n">
        <v>3</v>
      </c>
      <c r="B26" s="9" t="inlineStr">
        <is>
          <t>A satisfação do colaborador é mensurada e está em nível satisfatório.</t>
        </is>
      </c>
      <c r="C26" s="10" t="inlineStr"/>
      <c r="D26" s="8">
        <f>IF($C26="Existe e é satisfatório",20,IF($C26="Existe, mas não é satisfatório",10,0))</f>
        <v/>
      </c>
    </row>
    <row r="27" ht="30" customHeight="1">
      <c r="A27" s="8" t="n">
        <v>4</v>
      </c>
      <c r="B27" s="9" t="inlineStr">
        <is>
          <t>Existe remuneração atrelada ao desempenho (ao menos para as pessoas-chave) na organização.</t>
        </is>
      </c>
      <c r="C27" s="10" t="inlineStr"/>
      <c r="D27" s="8">
        <f>IF($C27="Existe e é satisfatório",20,IF($C27="Existe, mas não é satisfatório",10,0))</f>
        <v/>
      </c>
    </row>
    <row r="28" ht="30" customHeight="1">
      <c r="A28" s="8" t="n">
        <v>5</v>
      </c>
      <c r="B28" s="9" t="inlineStr">
        <is>
          <t>A taxa de crescimento da empresa geralmente é maior que a esperada/planejada.</t>
        </is>
      </c>
      <c r="C28" s="10" t="inlineStr"/>
      <c r="D28" s="8">
        <f>IF($C28="Existe e é satisfatório",20,IF($C28="Existe, mas não é satisfatório",10,0))</f>
        <v/>
      </c>
    </row>
    <row r="29" ht="24" customHeight="1">
      <c r="A29" s="11" t="n"/>
      <c r="B29" s="12" t="inlineStr">
        <is>
          <t>SUBTOTAL — Resultados (máximo 100)</t>
        </is>
      </c>
      <c r="C29" s="13">
        <f>SUM(D24:D28)&amp;" / 100"</f>
        <v/>
      </c>
      <c r="D29" s="13">
        <f>SUM(D24:D28)</f>
        <v/>
      </c>
    </row>
    <row r="31" ht="26" customHeight="1">
      <c r="A31" s="15" t="inlineStr">
        <is>
          <t xml:space="preserve">  SISTEMA DE GESTÃO  —  cada item "satisfatório" vale 20 pts  ·  O leme estratégico que conduz a empresa.</t>
        </is>
      </c>
    </row>
    <row r="32">
      <c r="A32" s="6" t="inlineStr">
        <is>
          <t>#</t>
        </is>
      </c>
      <c r="B32" s="7" t="inlineStr">
        <is>
          <t>Item avaliado</t>
        </is>
      </c>
      <c r="C32" s="6" t="inlineStr">
        <is>
          <t>Sua avaliação</t>
        </is>
      </c>
      <c r="D32" s="6" t="inlineStr">
        <is>
          <t>Pontos</t>
        </is>
      </c>
    </row>
    <row r="33" ht="30" customHeight="1">
      <c r="A33" s="8" t="n">
        <v>1</v>
      </c>
      <c r="B33" s="9" t="inlineStr">
        <is>
          <t>É feito planejamento anualmente para curto, médio e longo prazo (1 a 3 ou 1 a 5 anos).</t>
        </is>
      </c>
      <c r="C33" s="10" t="inlineStr"/>
      <c r="D33" s="8">
        <f>IF($C33="Existe e é satisfatório",20,IF($C33="Existe, mas não é satisfatório",10,0))</f>
        <v/>
      </c>
    </row>
    <row r="34" ht="30" customHeight="1">
      <c r="A34" s="8" t="n">
        <v>2</v>
      </c>
      <c r="B34" s="9" t="inlineStr">
        <is>
          <t>Os sistemas de informação (softwares) são adequados para o nível de maturidade/momento da empresa.</t>
        </is>
      </c>
      <c r="C34" s="10" t="inlineStr"/>
      <c r="D34" s="8">
        <f>IF($C34="Existe e é satisfatório",20,IF($C34="Existe, mas não é satisfatório",10,0))</f>
        <v/>
      </c>
    </row>
    <row r="35" ht="30" customHeight="1">
      <c r="A35" s="8" t="n">
        <v>3</v>
      </c>
      <c r="B35" s="9" t="inlineStr">
        <is>
          <t>As metas são bem estabelecidas, sempre contemplando: indicador, prazo e valor.</t>
        </is>
      </c>
      <c r="C35" s="10" t="inlineStr"/>
      <c r="D35" s="8">
        <f>IF($C35="Existe e é satisfatório",20,IF($C35="Existe, mas não é satisfatório",10,0))</f>
        <v/>
      </c>
    </row>
    <row r="36" ht="30" customHeight="1">
      <c r="A36" s="8" t="n">
        <v>4</v>
      </c>
      <c r="B36" s="9" t="inlineStr">
        <is>
          <t>Existe por parte dos donos/líderes alocação de tempo adequado para a parte estratégica da empresa.</t>
        </is>
      </c>
      <c r="C36" s="10" t="inlineStr"/>
      <c r="D36" s="8">
        <f>IF($C36="Existe e é satisfatório",20,IF($C36="Existe, mas não é satisfatório",10,0))</f>
        <v/>
      </c>
    </row>
    <row r="37" ht="30" customHeight="1">
      <c r="A37" s="8" t="n">
        <v>5</v>
      </c>
      <c r="B37" s="9" t="inlineStr">
        <is>
          <t>Os indicadores são acompanhados e comunicados para a equipe.</t>
        </is>
      </c>
      <c r="C37" s="10" t="inlineStr"/>
      <c r="D37" s="8">
        <f>IF($C37="Existe e é satisfatório",20,IF($C37="Existe, mas não é satisfatório",10,0))</f>
        <v/>
      </c>
    </row>
    <row r="38" ht="24" customHeight="1">
      <c r="A38" s="11" t="n"/>
      <c r="B38" s="12" t="inlineStr">
        <is>
          <t>SUBTOTAL — Sistema de Gestão (máximo 100)</t>
        </is>
      </c>
      <c r="C38" s="13">
        <f>SUM(D33:D37)&amp;" / 100"</f>
        <v/>
      </c>
      <c r="D38" s="13">
        <f>SUM(D33:D37)</f>
        <v/>
      </c>
    </row>
    <row r="40" ht="26" customHeight="1">
      <c r="A40" s="16" t="inlineStr">
        <is>
          <t xml:space="preserve">  PESSOAS  —  cada item "satisfatório" vale 10 pts  ·  Time, liderança e cultura que sustentam o crescimento.</t>
        </is>
      </c>
    </row>
    <row r="41">
      <c r="A41" s="6" t="inlineStr">
        <is>
          <t>#</t>
        </is>
      </c>
      <c r="B41" s="7" t="inlineStr">
        <is>
          <t>Item avaliado</t>
        </is>
      </c>
      <c r="C41" s="6" t="inlineStr">
        <is>
          <t>Sua avaliação</t>
        </is>
      </c>
      <c r="D41" s="6" t="inlineStr">
        <is>
          <t>Pontos</t>
        </is>
      </c>
    </row>
    <row r="42" ht="30" customHeight="1">
      <c r="A42" s="8" t="n">
        <v>1</v>
      </c>
      <c r="B42" s="9" t="inlineStr">
        <is>
          <t>Existem ações de comunicação interna/endomarketing para gerar engajamento nas pessoas.</t>
        </is>
      </c>
      <c r="C42" s="10" t="inlineStr"/>
      <c r="D42" s="8">
        <f>IF($C42="Existe e é satisfatório",10,IF($C42="Existe, mas não é satisfatório",5,0))</f>
        <v/>
      </c>
    </row>
    <row r="43" ht="30" customHeight="1">
      <c r="A43" s="8" t="n">
        <v>2</v>
      </c>
      <c r="B43" s="9" t="inlineStr">
        <is>
          <t>O processo de recrutamento, seleção e integração é adequadamente conduzido.</t>
        </is>
      </c>
      <c r="C43" s="10" t="inlineStr"/>
      <c r="D43" s="8">
        <f>IF($C43="Existe e é satisfatório",10,IF($C43="Existe, mas não é satisfatório",5,0))</f>
        <v/>
      </c>
    </row>
    <row r="44" ht="30" customHeight="1">
      <c r="A44" s="8" t="n">
        <v>3</v>
      </c>
      <c r="B44" s="9" t="inlineStr">
        <is>
          <t>Os colaboradores recebem feedback periódico sobre seu desempenho.</t>
        </is>
      </c>
      <c r="C44" s="10" t="inlineStr"/>
      <c r="D44" s="8">
        <f>IF($C44="Existe e é satisfatório",10,IF($C44="Existe, mas não é satisfatório",5,0))</f>
        <v/>
      </c>
    </row>
    <row r="45" ht="30" customHeight="1">
      <c r="A45" s="8" t="n">
        <v>4</v>
      </c>
      <c r="B45" s="9" t="inlineStr">
        <is>
          <t>Talento e perfil dos colaboradores são mapeados com alguma ferramenta de Assessment (DISC, MBTI ou outros).</t>
        </is>
      </c>
      <c r="C45" s="10" t="inlineStr"/>
      <c r="D45" s="8">
        <f>IF($C45="Existe e é satisfatório",10,IF($C45="Existe, mas não é satisfatório",5,0))</f>
        <v/>
      </c>
    </row>
    <row r="46" ht="30" customHeight="1">
      <c r="A46" s="8" t="n">
        <v>5</v>
      </c>
      <c r="B46" s="9" t="inlineStr">
        <is>
          <t>É feito um planejamento e descrição de cada cargo.</t>
        </is>
      </c>
      <c r="C46" s="10" t="inlineStr"/>
      <c r="D46" s="8">
        <f>IF($C46="Existe e é satisfatório",10,IF($C46="Existe, mas não é satisfatório",5,0))</f>
        <v/>
      </c>
    </row>
    <row r="47" ht="30" customHeight="1">
      <c r="A47" s="8" t="n">
        <v>6</v>
      </c>
      <c r="B47" s="9" t="inlineStr">
        <is>
          <t>A liderança (incluindo os donos) tem uma comunicação clara, flexível e adequada.</t>
        </is>
      </c>
      <c r="C47" s="10" t="inlineStr"/>
      <c r="D47" s="8">
        <f>IF($C47="Existe e é satisfatório",10,IF($C47="Existe, mas não é satisfatório",5,0))</f>
        <v/>
      </c>
    </row>
    <row r="48" ht="30" customHeight="1">
      <c r="A48" s="8" t="n">
        <v>7</v>
      </c>
      <c r="B48" s="9" t="inlineStr">
        <is>
          <t>A liderança (incluindo os donos) realiza e oportuniza treinamentos técnicos e comportamentais.</t>
        </is>
      </c>
      <c r="C48" s="10" t="inlineStr"/>
      <c r="D48" s="8">
        <f>IF($C48="Existe e é satisfatório",10,IF($C48="Existe, mas não é satisfatório",5,0))</f>
        <v/>
      </c>
    </row>
    <row r="49" ht="30" customHeight="1">
      <c r="A49" s="8" t="n">
        <v>8</v>
      </c>
      <c r="B49" s="9" t="inlineStr">
        <is>
          <t>A liderança (incluindo os donos) executa estratégias de engajamento da equipe.</t>
        </is>
      </c>
      <c r="C49" s="10" t="inlineStr"/>
      <c r="D49" s="8">
        <f>IF($C49="Existe e é satisfatório",10,IF($C49="Existe, mas não é satisfatório",5,0))</f>
        <v/>
      </c>
    </row>
    <row r="50" ht="30" customHeight="1">
      <c r="A50" s="8" t="n">
        <v>9</v>
      </c>
      <c r="B50" s="9" t="inlineStr">
        <is>
          <t>A liderança (incluindo os donos) delega de forma efetiva.</t>
        </is>
      </c>
      <c r="C50" s="10" t="inlineStr"/>
      <c r="D50" s="8">
        <f>IF($C50="Existe e é satisfatório",10,IF($C50="Existe, mas não é satisfatório",5,0))</f>
        <v/>
      </c>
    </row>
    <row r="51" ht="30" customHeight="1">
      <c r="A51" s="8" t="n">
        <v>10</v>
      </c>
      <c r="B51" s="9" t="inlineStr">
        <is>
          <t>O ambiente físico da empresa está adequado às necessidades das atividades e dos funcionários.</t>
        </is>
      </c>
      <c r="C51" s="10" t="inlineStr"/>
      <c r="D51" s="8">
        <f>IF($C51="Existe e é satisfatório",10,IF($C51="Existe, mas não é satisfatório",5,0))</f>
        <v/>
      </c>
    </row>
    <row r="52" ht="24" customHeight="1">
      <c r="A52" s="11" t="n"/>
      <c r="B52" s="12" t="inlineStr">
        <is>
          <t>SUBTOTAL — Pessoas (máximo 100)</t>
        </is>
      </c>
      <c r="C52" s="13">
        <f>SUM(D42:D51)&amp;" / 100"</f>
        <v/>
      </c>
      <c r="D52" s="13">
        <f>SUM(D42:D51)</f>
        <v/>
      </c>
    </row>
  </sheetData>
  <mergeCells count="10">
    <mergeCell ref="A1:D1"/>
    <mergeCell ref="A5:D5"/>
    <mergeCell ref="A40:D40"/>
    <mergeCell ref="A8:D8"/>
    <mergeCell ref="A31:D31"/>
    <mergeCell ref="A6:D6"/>
    <mergeCell ref="A22:D22"/>
    <mergeCell ref="A4:D4"/>
    <mergeCell ref="A3:D3"/>
    <mergeCell ref="A2:D2"/>
  </mergeCells>
  <dataValidations count="1">
    <dataValidation sqref="C10 C11 C12 C13 C14 C15 C16 C17 C18 C19 C24 C25 C26 C27 C28 C33 C34 C35 C36 C37 C42 C43 C44 C45 C46 C47 C48 C49 C50 C51" showDropDown="0" showInputMessage="0" showErrorMessage="0" allowBlank="1" promptTitle="Avaliação" prompt="Escolha uma das 3 opções" type="list">
      <formula1>=Listas!$A$1:$A$3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Existe e é satisfatório</t>
        </is>
      </c>
    </row>
    <row r="2">
      <c r="A2" t="inlineStr">
        <is>
          <t>Existe, mas não é satisfatório</t>
        </is>
      </c>
    </row>
    <row r="3">
      <c r="A3" t="inlineStr">
        <is>
          <t>Não existe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Dimensão</t>
        </is>
      </c>
      <c r="B1" t="inlineStr">
        <is>
          <t>Título</t>
        </is>
      </c>
      <c r="C1" t="inlineStr">
        <is>
          <t>Diagnóstico</t>
        </is>
      </c>
      <c r="E1" t="inlineStr">
        <is>
          <t>Mín</t>
        </is>
      </c>
      <c r="F1" t="inlineStr">
        <is>
          <t>Faixa</t>
        </is>
      </c>
      <c r="G1" t="inlineStr">
        <is>
          <t>Resumo</t>
        </is>
      </c>
    </row>
    <row r="2">
      <c r="A2" t="inlineStr">
        <is>
          <t>Processos</t>
        </is>
      </c>
      <c r="B2" t="inlineStr">
        <is>
          <t>Seu gargalo oculto está nos PROCESSOS</t>
        </is>
      </c>
      <c r="C2" t="inlineStr">
        <is>
          <t>Seu negócio cresceu, mas a operação ainda depende de você e de alguns "heróis". Sem processos documentados e rotina gerenciada, cada novo cliente adiciona caos em vez de lucro. O faturamento parou de crescer porque a empresa não consegue entregar mais sem quebrar.</t>
        </is>
      </c>
      <c r="E2" t="n">
        <v>0</v>
      </c>
      <c r="F2" t="inlineStr">
        <is>
          <t>Sobrevivência</t>
        </is>
      </c>
      <c r="G2" t="inlineStr">
        <is>
          <t>A empresa funciona na base do esforço pessoal e da reação. Pequenos ajustes estruturais geram saltos rápidos.</t>
        </is>
      </c>
    </row>
    <row r="3">
      <c r="A3" t="inlineStr">
        <is>
          <t>Resultados</t>
        </is>
      </c>
      <c r="B3" t="inlineStr">
        <is>
          <t>Seu gargalo oculto está nos RESULTADOS</t>
        </is>
      </c>
      <c r="C3" t="inlineStr">
        <is>
          <t>Você está ocupado o tempo todo, mas não sabe ao certo se está lucrando. Sem medir margem, satisfação de cliente e de equipe, você pilota a empresa no escuro. O faturamento estagnou porque você otimiza o que sente, não o que os números mostram.</t>
        </is>
      </c>
      <c r="E3" t="n">
        <v>40</v>
      </c>
      <c r="F3" t="inlineStr">
        <is>
          <t>Organização</t>
        </is>
      </c>
      <c r="G3" t="inlineStr">
        <is>
          <t>Você saiu do caos, mas um gargalo específico segura o crescimento do restante. Destravá-lo leva ao próximo patamar.</t>
        </is>
      </c>
    </row>
    <row r="4">
      <c r="A4" t="inlineStr">
        <is>
          <t>Sistema de Gestão</t>
        </is>
      </c>
      <c r="B4" t="inlineStr">
        <is>
          <t>Seu gargalo oculto está no SISTEMA DE GESTÃO</t>
        </is>
      </c>
      <c r="C4" t="inlineStr">
        <is>
          <t>Falta o leme estratégico. Sem planejamento, metas claras (indicador, prazo e valor) e tempo dedicado a pensar o negócio, a empresa vive presa no operacional e apenas reage ao mercado. O crescimento travou porque ninguém está, de fato, pilotando o longo prazo.</t>
        </is>
      </c>
      <c r="E4" t="n">
        <v>70</v>
      </c>
      <c r="F4" t="inlineStr">
        <is>
          <t>Escala</t>
        </is>
      </c>
      <c r="G4" t="inlineStr">
        <is>
          <t>A base está sólida. O gargalo é fino e específico — o ajuste que torna o crescimento previsível e sustentável.</t>
        </is>
      </c>
    </row>
    <row r="5">
      <c r="A5" t="inlineStr">
        <is>
          <t>Pessoas</t>
        </is>
      </c>
      <c r="B5" t="inlineStr">
        <is>
          <t>Seu gargalo oculto está nas PESSOAS</t>
        </is>
      </c>
      <c r="C5" t="inlineStr">
        <is>
          <t>Seu time é seu maior ativo — e, hoje, seu maior gargalo. Sem uma liderança que delega, engaja e desenvolve, tudo volta para o dono e a empresa não escala além da capacidade de uma única pessoa. O faturamento parou porque você é, ao mesmo tempo, o motor e o limite do negócio.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6"/>
  <sheetViews>
    <sheetView showGridLines="0" workbookViewId="0">
      <selection activeCell="A1" sqref="A1"/>
    </sheetView>
  </sheetViews>
  <sheetFormatPr baseColWidth="8" defaultRowHeight="15"/>
  <cols>
    <col width="22" customWidth="1" min="1" max="1"/>
    <col width="14" customWidth="1" min="2" max="2"/>
    <col width="16" customWidth="1" min="3" max="3"/>
    <col width="14" customWidth="1" min="4" max="4"/>
    <col width="60" customWidth="1" min="5" max="5"/>
  </cols>
  <sheetData>
    <row r="1" ht="36" customHeight="1">
      <c r="A1" s="1" t="inlineStr">
        <is>
          <t>RESULTADO DO DIAGNÓSTICO</t>
        </is>
      </c>
    </row>
    <row r="4">
      <c r="A4" s="6" t="inlineStr">
        <is>
          <t>Dimensão</t>
        </is>
      </c>
      <c r="B4" s="6" t="inlineStr">
        <is>
          <t>Atual (%)</t>
        </is>
      </c>
      <c r="C4" s="6" t="inlineStr">
        <is>
          <t>Desejado (%)</t>
        </is>
      </c>
      <c r="D4" s="6" t="inlineStr">
        <is>
          <t>Prazo</t>
        </is>
      </c>
    </row>
    <row r="5">
      <c r="A5" s="17" t="inlineStr">
        <is>
          <t>Processos</t>
        </is>
      </c>
      <c r="B5" s="18">
        <f>Diagnóstico!D20</f>
        <v/>
      </c>
      <c r="C5" s="19" t="n">
        <v>100</v>
      </c>
      <c r="D5" s="19" t="inlineStr"/>
    </row>
    <row r="6">
      <c r="A6" s="17" t="inlineStr">
        <is>
          <t>Resultados</t>
        </is>
      </c>
      <c r="B6" s="18">
        <f>Diagnóstico!D29</f>
        <v/>
      </c>
      <c r="C6" s="19" t="n">
        <v>100</v>
      </c>
      <c r="D6" s="19" t="inlineStr"/>
    </row>
    <row r="7">
      <c r="A7" s="17" t="inlineStr">
        <is>
          <t>Sistema de Gestão</t>
        </is>
      </c>
      <c r="B7" s="18">
        <f>Diagnóstico!D38</f>
        <v/>
      </c>
      <c r="C7" s="19" t="n">
        <v>100</v>
      </c>
      <c r="D7" s="19" t="inlineStr"/>
    </row>
    <row r="8">
      <c r="A8" s="17" t="inlineStr">
        <is>
          <t>Pessoas</t>
        </is>
      </c>
      <c r="B8" s="18">
        <f>Diagnóstico!D52</f>
        <v/>
      </c>
      <c r="C8" s="19" t="n">
        <v>100</v>
      </c>
      <c r="D8" s="19" t="inlineStr"/>
    </row>
    <row r="29" ht="26" customHeight="1">
      <c r="A29" s="20" t="inlineStr">
        <is>
          <t>SUA LEITURA AUTOMÁTICA</t>
        </is>
      </c>
    </row>
    <row r="30" ht="40" customHeight="1">
      <c r="A30" s="21" t="inlineStr">
        <is>
          <t>Gargalo oculto</t>
        </is>
      </c>
      <c r="B30" s="22">
        <f>INDEX(A5:A8,MATCH(MIN(B5:B8),B5:B8,0))</f>
        <v/>
      </c>
    </row>
    <row r="31" ht="56" customHeight="1">
      <c r="A31" s="23" t="inlineStr">
        <is>
          <t>Título</t>
        </is>
      </c>
      <c r="B31" s="24">
        <f>IFERROR(VLOOKUP(B30,Textos!$A$2:$C$5,2,FALSE),"")</f>
        <v/>
      </c>
    </row>
    <row r="32" ht="56" customHeight="1">
      <c r="A32" s="23" t="inlineStr">
        <is>
          <t>Diagnóstico</t>
        </is>
      </c>
      <c r="B32" s="24">
        <f>IFERROR(VLOOKUP(B30,Textos!$A$2:$C$5,3,FALSE),"")</f>
        <v/>
      </c>
    </row>
    <row r="33" ht="56" customHeight="1">
      <c r="A33" s="23" t="inlineStr">
        <is>
          <t>Maturidade geral</t>
        </is>
      </c>
      <c r="B33" s="24">
        <f>ROUND(AVERAGE(B5:B8),0)&amp;"%  —  "&amp;IFERROR(VLOOKUP(ROUND(AVERAGE(B5:B8),0),Textos!$E$2:$G$4,2,TRUE),"")</f>
        <v/>
      </c>
    </row>
    <row r="34" ht="56" customHeight="1">
      <c r="A34" s="23" t="inlineStr">
        <is>
          <t>O que fazer agora</t>
        </is>
      </c>
      <c r="B34" s="24">
        <f>IFERROR(VLOOKUP(ROUND(AVERAGE(B5:B8),0),Textos!$E$2:$G$4,3,TRUE),"")</f>
        <v/>
      </c>
    </row>
    <row r="36" ht="44" customHeight="1">
      <c r="A36" s="25" t="inlineStr">
        <is>
          <t>Agora você sabe ONDE travou. A próxima pergunta vale seu próximo salto: COMO destravar?</t>
        </is>
      </c>
    </row>
  </sheetData>
  <mergeCells count="13">
    <mergeCell ref="A31"/>
    <mergeCell ref="B31:E31"/>
    <mergeCell ref="A29:E29"/>
    <mergeCell ref="A34"/>
    <mergeCell ref="A30"/>
    <mergeCell ref="B30:E30"/>
    <mergeCell ref="B32:E32"/>
    <mergeCell ref="B33:E33"/>
    <mergeCell ref="A1:E1"/>
    <mergeCell ref="A36:E36"/>
    <mergeCell ref="B34:E34"/>
    <mergeCell ref="A33"/>
    <mergeCell ref="A3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2026-06-19T00:06:18Z</dcterms:created>
  <dcterms:modified xsi:type="dcterms:W3CDTF">2026-06-19T00:06:18Z</dcterms:modified>
</cp:coreProperties>
</file>